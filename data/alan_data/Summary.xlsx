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h1123_ic_ac_uk/Documents/Diazirine Manuscript/"/>
    </mc:Choice>
  </mc:AlternateContent>
  <xr:revisionPtr revIDLastSave="132" documentId="8_{D9C1BBAE-AE48-4D32-A476-A5C5FCFC7F57}" xr6:coauthVersionLast="47" xr6:coauthVersionMax="47" xr10:uidLastSave="{3ACB7B5D-4F31-4518-8536-755C0B2BD3EB}"/>
  <bookViews>
    <workbookView minimized="1" xWindow="4860" yWindow="2870" windowWidth="25860" windowHeight="11170" xr2:uid="{83E2284D-925A-4EF6-BDE5-3400576CB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C13" i="1"/>
  <c r="F8" i="1"/>
  <c r="E8" i="1"/>
  <c r="D8" i="1"/>
  <c r="C8" i="1"/>
  <c r="F17" i="1"/>
  <c r="E17" i="1"/>
  <c r="D17" i="1"/>
  <c r="C17" i="1"/>
  <c r="F18" i="1"/>
  <c r="E16" i="1"/>
  <c r="D16" i="1"/>
  <c r="C16" i="1"/>
  <c r="E18" i="1"/>
  <c r="D18" i="1"/>
  <c r="C18" i="1"/>
  <c r="F11" i="1"/>
  <c r="E11" i="1"/>
  <c r="D11" i="1"/>
  <c r="C11" i="1"/>
  <c r="F10" i="1"/>
  <c r="E10" i="1"/>
  <c r="D10" i="1"/>
  <c r="C10" i="1"/>
  <c r="F7" i="1"/>
  <c r="E7" i="1"/>
  <c r="D7" i="1"/>
  <c r="C7" i="1"/>
  <c r="D6" i="1"/>
  <c r="C6" i="1"/>
  <c r="E6" i="1" s="1"/>
  <c r="C5" i="1"/>
  <c r="E5" i="1" s="1"/>
  <c r="F5" i="1" s="1"/>
  <c r="D5" i="1"/>
  <c r="F4" i="1"/>
  <c r="E4" i="1"/>
  <c r="D4" i="1"/>
  <c r="C4" i="1"/>
  <c r="F3" i="1"/>
  <c r="E3" i="1"/>
  <c r="D3" i="1"/>
  <c r="C3" i="1"/>
  <c r="E2" i="1"/>
  <c r="C2" i="1"/>
  <c r="D2" i="1"/>
</calcChain>
</file>

<file path=xl/sharedStrings.xml><?xml version="1.0" encoding="utf-8"?>
<sst xmlns="http://schemas.openxmlformats.org/spreadsheetml/2006/main" count="20" uniqueCount="20">
  <si>
    <t>SM_Clus</t>
    <phoneticPr fontId="1" type="noConversion"/>
  </si>
  <si>
    <t>IM1</t>
    <phoneticPr fontId="1" type="noConversion"/>
  </si>
  <si>
    <t>IM2</t>
    <phoneticPr fontId="1" type="noConversion"/>
  </si>
  <si>
    <t>IM3</t>
    <phoneticPr fontId="1" type="noConversion"/>
  </si>
  <si>
    <t>Prod</t>
    <phoneticPr fontId="1" type="noConversion"/>
  </si>
  <si>
    <t>Side_SM</t>
    <phoneticPr fontId="1" type="noConversion"/>
  </si>
  <si>
    <t>Side_TS</t>
    <phoneticPr fontId="1" type="noConversion"/>
  </si>
  <si>
    <t>TS - SM_1/2</t>
    <phoneticPr fontId="1" type="noConversion"/>
  </si>
  <si>
    <t>TS - 3/p</t>
    <phoneticPr fontId="1" type="noConversion"/>
  </si>
  <si>
    <t>G/hart</t>
    <phoneticPr fontId="1" type="noConversion"/>
  </si>
  <si>
    <t>G/(kj/mol)</t>
    <phoneticPr fontId="1" type="noConversion"/>
  </si>
  <si>
    <t>G(corrected)/kj/mol</t>
    <phoneticPr fontId="1" type="noConversion"/>
  </si>
  <si>
    <t>SS-correction</t>
    <phoneticPr fontId="1" type="noConversion"/>
  </si>
  <si>
    <t>Against Reference</t>
    <phoneticPr fontId="1" type="noConversion"/>
  </si>
  <si>
    <t>Bimolecular Explicit Solvation</t>
    <phoneticPr fontId="1" type="noConversion"/>
  </si>
  <si>
    <t>IM1'</t>
    <phoneticPr fontId="1" type="noConversion"/>
  </si>
  <si>
    <t>TS12'</t>
    <phoneticPr fontId="1" type="noConversion"/>
  </si>
  <si>
    <t>IM2'</t>
    <phoneticPr fontId="1" type="noConversion"/>
  </si>
  <si>
    <t>Redefined</t>
    <phoneticPr fontId="1" type="noConversion"/>
  </si>
  <si>
    <t>Et2O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</si>
</sst>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28FC-EA1C-4F53-914B-9752617D1726}">
  <dimension ref="A1:G18"/>
  <sheetViews>
    <sheetView tabSelected="1" workbookViewId="0">
      <selection activeCell="E13" sqref="E13"/>
    </sheetView>
  </sheetViews>
  <sheetFormatPr defaultRowHeight="14" x14ac:dyDescent="0.3"/>
  <cols>
    <col min="1" max="1" width="26" customWidth="1"/>
    <col min="2" max="2" width="21.75" customWidth="1"/>
    <col min="3" max="4" width="22.1640625" customWidth="1"/>
    <col min="5" max="5" width="28.08203125" customWidth="1"/>
    <col min="6" max="6" width="29.83203125" customWidth="1"/>
  </cols>
  <sheetData>
    <row r="1" spans="1:7" x14ac:dyDescent="0.3">
      <c r="B1" t="s">
        <v>9</v>
      </c>
      <c r="C1" t="s">
        <v>10</v>
      </c>
      <c r="D1" t="s">
        <v>12</v>
      </c>
      <c r="E1" t="s">
        <v>11</v>
      </c>
      <c r="F1" t="s">
        <v>13</v>
      </c>
    </row>
    <row r="2" spans="1:7" x14ac:dyDescent="0.3">
      <c r="A2" t="s">
        <v>0</v>
      </c>
      <c r="B2">
        <v>-6078.4075949799999</v>
      </c>
      <c r="C2">
        <f>2625.5*B2</f>
        <v>-15958859.140619989</v>
      </c>
      <c r="D2">
        <f>8.314*195*LN(24.5)/1000</f>
        <v>5.1857848183666908</v>
      </c>
      <c r="E2">
        <f>C2+D2</f>
        <v>-15958853.954835171</v>
      </c>
      <c r="F2">
        <v>0</v>
      </c>
    </row>
    <row r="3" spans="1:7" x14ac:dyDescent="0.3">
      <c r="A3" t="s">
        <v>7</v>
      </c>
      <c r="B3">
        <v>-6078.4028576500004</v>
      </c>
      <c r="C3">
        <f>2625.5*B3</f>
        <v>-15958846.702760076</v>
      </c>
      <c r="D3">
        <f>8.314*195*LN(24.5)/1000</f>
        <v>5.1857848183666908</v>
      </c>
      <c r="E3">
        <f>C3+D3</f>
        <v>-15958841.516975258</v>
      </c>
      <c r="F3">
        <f>E3-E2</f>
        <v>12.43785991333425</v>
      </c>
    </row>
    <row r="4" spans="1:7" x14ac:dyDescent="0.3">
      <c r="A4" t="s">
        <v>1</v>
      </c>
      <c r="B4">
        <v>-6078.4555676299997</v>
      </c>
      <c r="C4">
        <f>2625.5*B4</f>
        <v>-15958985.092812564</v>
      </c>
      <c r="D4">
        <f>8.314*195*LN(24.5)/1000</f>
        <v>5.1857848183666908</v>
      </c>
      <c r="E4">
        <f>C4+D4</f>
        <v>-15958979.907027746</v>
      </c>
      <c r="F4">
        <f>E4-E2</f>
        <v>-125.95219257473946</v>
      </c>
    </row>
    <row r="5" spans="1:7" x14ac:dyDescent="0.3">
      <c r="A5" t="s">
        <v>2</v>
      </c>
      <c r="B5">
        <v>-6078.4950804700002</v>
      </c>
      <c r="C5">
        <f>2625.5*B5</f>
        <v>-15959088.833773986</v>
      </c>
      <c r="D5">
        <f>8.314*195*LN(24.5)/1000</f>
        <v>5.1857848183666908</v>
      </c>
      <c r="E5">
        <f>C5+D5</f>
        <v>-15959083.647989167</v>
      </c>
      <c r="F5">
        <f>E5-E3</f>
        <v>-242.13101390935481</v>
      </c>
    </row>
    <row r="6" spans="1:7" x14ac:dyDescent="0.3">
      <c r="A6" t="s">
        <v>3</v>
      </c>
      <c r="B6">
        <v>-3621.4253720400002</v>
      </c>
      <c r="C6">
        <f>2625.5*B6</f>
        <v>-9508052.3142910209</v>
      </c>
      <c r="D6">
        <f>8.314*195*LN(24.5)/1000</f>
        <v>5.1857848183666908</v>
      </c>
      <c r="E6">
        <f>C6+D6</f>
        <v>-9508047.1285062023</v>
      </c>
      <c r="F6">
        <v>0</v>
      </c>
      <c r="G6" t="s">
        <v>18</v>
      </c>
    </row>
    <row r="7" spans="1:7" x14ac:dyDescent="0.3">
      <c r="A7" t="s">
        <v>8</v>
      </c>
      <c r="B7">
        <v>-3621.4215494499999</v>
      </c>
      <c r="C7">
        <f>2625.5*B7</f>
        <v>-9508042.2780809756</v>
      </c>
      <c r="D7">
        <f>8.314*195*LN(24.5)/1000</f>
        <v>5.1857848183666908</v>
      </c>
      <c r="E7">
        <f>C7+D7</f>
        <v>-9508037.092296157</v>
      </c>
      <c r="F7">
        <f>E7-E6</f>
        <v>10.036210045218468</v>
      </c>
    </row>
    <row r="8" spans="1:7" x14ac:dyDescent="0.3">
      <c r="A8" t="s">
        <v>4</v>
      </c>
      <c r="B8">
        <v>-3621.4677809999998</v>
      </c>
      <c r="C8">
        <f>2625.5*B8</f>
        <v>-9508163.6590154991</v>
      </c>
      <c r="D8">
        <f>8.314*195*LN(24.5)/1000</f>
        <v>5.1857848183666908</v>
      </c>
      <c r="E8">
        <f>C8+D8</f>
        <v>-9508158.4732306805</v>
      </c>
      <c r="F8">
        <f>E8-E6</f>
        <v>-111.34472447820008</v>
      </c>
    </row>
    <row r="10" spans="1:7" x14ac:dyDescent="0.3">
      <c r="A10" t="s">
        <v>5</v>
      </c>
      <c r="B10">
        <v>-6078.4064912599997</v>
      </c>
      <c r="C10">
        <f>2625.5*B10</f>
        <v>-15958856.242803128</v>
      </c>
      <c r="D10">
        <f>8.314*195*LN(24.5)/1000</f>
        <v>5.1857848183666908</v>
      </c>
      <c r="E10">
        <f>C10+D10</f>
        <v>-15958851.05701831</v>
      </c>
      <c r="F10">
        <f>E10-E2</f>
        <v>2.8978168610483408</v>
      </c>
    </row>
    <row r="11" spans="1:7" x14ac:dyDescent="0.3">
      <c r="A11" t="s">
        <v>6</v>
      </c>
      <c r="B11">
        <v>-6078.3481170900004</v>
      </c>
      <c r="C11">
        <f>2625.5*B11</f>
        <v>-15958702.981419796</v>
      </c>
      <c r="D11">
        <f>8.314*195*LN(24.5)/1000</f>
        <v>5.1857848183666908</v>
      </c>
      <c r="E11">
        <f>C11+D11</f>
        <v>-15958697.795634978</v>
      </c>
      <c r="F11">
        <f>E11-E2</f>
        <v>156.15920019336045</v>
      </c>
    </row>
    <row r="13" spans="1:7" x14ac:dyDescent="0.3">
      <c r="A13" t="s">
        <v>19</v>
      </c>
      <c r="B13">
        <v>-233.54005853999999</v>
      </c>
      <c r="C13">
        <f>2625.5*B13</f>
        <v>-613159.42369676998</v>
      </c>
      <c r="D13">
        <f>8.314*195*LN(24.5)/1000</f>
        <v>5.1857848183666908</v>
      </c>
      <c r="E13">
        <f>C13+D13</f>
        <v>-613154.23791195161</v>
      </c>
    </row>
    <row r="15" spans="1:7" x14ac:dyDescent="0.3">
      <c r="A15" t="s">
        <v>14</v>
      </c>
    </row>
    <row r="16" spans="1:7" x14ac:dyDescent="0.3">
      <c r="A16" t="s">
        <v>15</v>
      </c>
      <c r="B16">
        <v>-6312.0093267499997</v>
      </c>
      <c r="C16">
        <f>2625.5*B16</f>
        <v>-16572180.487382123</v>
      </c>
      <c r="D16">
        <f>8.314*195*LN(24.5)/1000</f>
        <v>5.1857848183666908</v>
      </c>
      <c r="E16">
        <f>C16+D16</f>
        <v>-16572175.301597305</v>
      </c>
      <c r="F16">
        <v>0</v>
      </c>
    </row>
    <row r="17" spans="1:6" x14ac:dyDescent="0.3">
      <c r="A17" t="s">
        <v>16</v>
      </c>
      <c r="B17">
        <v>-6312.0091850199997</v>
      </c>
      <c r="C17">
        <f>2625.5*B17</f>
        <v>-16572180.115270009</v>
      </c>
      <c r="D17">
        <f>8.314*195*LN(24.5)/1000</f>
        <v>5.1857848183666908</v>
      </c>
      <c r="E17">
        <f>C17+D17</f>
        <v>-16572174.929485191</v>
      </c>
      <c r="F17">
        <f>E17-E16</f>
        <v>0.37211211398243904</v>
      </c>
    </row>
    <row r="18" spans="1:6" x14ac:dyDescent="0.3">
      <c r="A18" t="s">
        <v>17</v>
      </c>
      <c r="B18">
        <v>-6312.0165745300001</v>
      </c>
      <c r="C18">
        <f>2625.5*B18</f>
        <v>-16572199.516428515</v>
      </c>
      <c r="D18">
        <f>8.314*195*LN(24.5)/1000</f>
        <v>5.1857848183666908</v>
      </c>
      <c r="E18">
        <f>C18+D18</f>
        <v>-16572194.330643697</v>
      </c>
      <c r="F18">
        <f>E18-E16</f>
        <v>-19.029046392068267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Xinchen He</dc:creator>
  <cp:lastModifiedBy>He, Alan</cp:lastModifiedBy>
  <dcterms:created xsi:type="dcterms:W3CDTF">2026-03-02T00:26:09Z</dcterms:created>
  <dcterms:modified xsi:type="dcterms:W3CDTF">2026-03-02T06:27:56Z</dcterms:modified>
</cp:coreProperties>
</file>